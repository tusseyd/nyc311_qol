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a8d5035779695d/Documents/datacleaningproject/nyc_qol_project/"/>
    </mc:Choice>
  </mc:AlternateContent>
  <xr:revisionPtr revIDLastSave="66" documentId="8_{C2C1CFE1-5980-440E-92DD-47605DC17F4B}" xr6:coauthVersionLast="47" xr6:coauthVersionMax="47" xr10:uidLastSave="{F578A3A9-2C7C-4D11-B73B-3D2218FF4EB9}"/>
  <bookViews>
    <workbookView xWindow="-108" yWindow="-108" windowWidth="30936" windowHeight="17496" activeTab="1" xr2:uid="{D119C45C-8498-4530-97AC-7BD3BD7523BF}"/>
  </bookViews>
  <sheets>
    <sheet name="Sheet1" sheetId="1" r:id="rId1"/>
    <sheet name="Sheet2" sheetId="2" r:id="rId2"/>
  </sheets>
  <definedNames>
    <definedName name="_xlnm._FilterDatabase" localSheetId="0" hidden="1">Sheet1!$A$1:$C$48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/>
  <c r="B10" i="1"/>
  <c r="B13" i="1"/>
  <c r="B16" i="1"/>
  <c r="B18" i="1"/>
  <c r="B20" i="1"/>
  <c r="B23" i="1"/>
  <c r="B24" i="1"/>
  <c r="B25" i="1"/>
  <c r="B27" i="1"/>
  <c r="B34" i="1"/>
  <c r="B44" i="1"/>
  <c r="B47" i="1"/>
  <c r="B3" i="1"/>
  <c r="B8" i="1"/>
  <c r="B9" i="1"/>
  <c r="B14" i="1"/>
  <c r="B17" i="1"/>
  <c r="B26" i="1"/>
  <c r="B30" i="1"/>
  <c r="B31" i="1"/>
  <c r="B32" i="1"/>
  <c r="B37" i="1"/>
  <c r="B40" i="1"/>
  <c r="B45" i="1"/>
  <c r="B46" i="1"/>
  <c r="B48" i="1"/>
  <c r="B4" i="1"/>
  <c r="B6" i="1"/>
  <c r="B11" i="1"/>
  <c r="B15" i="1"/>
  <c r="B19" i="1"/>
  <c r="B22" i="1"/>
  <c r="B28" i="1"/>
  <c r="B29" i="1"/>
  <c r="B33" i="1"/>
  <c r="B35" i="1"/>
  <c r="B36" i="1"/>
  <c r="B38" i="1"/>
  <c r="B39" i="1"/>
  <c r="B41" i="1"/>
  <c r="B42" i="1"/>
  <c r="B43" i="1"/>
  <c r="B12" i="1"/>
  <c r="B21" i="1"/>
  <c r="B2" i="1"/>
</calcChain>
</file>

<file path=xl/sharedStrings.xml><?xml version="1.0" encoding="utf-8"?>
<sst xmlns="http://schemas.openxmlformats.org/spreadsheetml/2006/main" count="112" uniqueCount="51">
  <si>
    <t>The Amelioration Index: Preventable QoL Issues</t>
  </si>
  <si>
    <t xml:space="preserve">    HEAT/HOT WATER (1,071,134)</t>
  </si>
  <si>
    <t xml:space="preserve">    PLUMBING (262,373)</t>
  </si>
  <si>
    <t xml:space="preserve">    PAINT/PLASTER (232,555)</t>
  </si>
  <si>
    <t xml:space="preserve">    DOOR/WINDOW (174,403)</t>
  </si>
  <si>
    <t xml:space="preserve">    WATER LEAK (160,989)</t>
  </si>
  <si>
    <t xml:space="preserve">    GENERAL CONSTRUCTION/PLUMBING (148,533)</t>
  </si>
  <si>
    <t xml:space="preserve">    ELECTRIC (111,471)</t>
  </si>
  <si>
    <t xml:space="preserve">    FLOORING/STAIRS (101,643)</t>
  </si>
  <si>
    <t xml:space="preserve">    APPLIANCE (83,837)</t>
  </si>
  <si>
    <t xml:space="preserve">    ELEVATOR (82,065)</t>
  </si>
  <si>
    <t xml:space="preserve">    BUILDING/USE (77,947)</t>
  </si>
  <si>
    <t xml:space="preserve">    LEAD (63,187)</t>
  </si>
  <si>
    <t xml:space="preserve">    INDOOR AIR QUALITY (29,752)</t>
  </si>
  <si>
    <t xml:space="preserve">    BOILERS (13,527)</t>
  </si>
  <si>
    <t xml:space="preserve">    ELECTRICAL (8,892)</t>
  </si>
  <si>
    <t xml:space="preserve">    UNSANITARY CONDITION (443,177)</t>
  </si>
  <si>
    <t xml:space="preserve">    DIRTY CONDITION (210,309)</t>
  </si>
  <si>
    <t xml:space="preserve">    MISSED COLLECTION (187,275)</t>
  </si>
  <si>
    <t xml:space="preserve">    RODENT (150,950)</t>
  </si>
  <si>
    <t xml:space="preserve">    ILLEGAL DUMPING (141,580)</t>
  </si>
  <si>
    <t xml:space="preserve">    GRAFFITI (71,424)</t>
  </si>
  <si>
    <t xml:space="preserve">    RESIDENTIAL DISPOSAL COMPLAINT (49,424)</t>
  </si>
  <si>
    <t xml:space="preserve">    REQUEST LARGE BULKY ITEM COLLECTION (46,727)</t>
  </si>
  <si>
    <t xml:space="preserve">    STREET SWEEPING COMPLAINT (32,663)</t>
  </si>
  <si>
    <t xml:space="preserve">    OUTDOOR DINING (21,587) Major policy shift this term</t>
  </si>
  <si>
    <t xml:space="preserve">    LITTER BASKET REQUEST (14,513)</t>
  </si>
  <si>
    <t xml:space="preserve">    SANITATION WORKER OR VEHICLE COMPLAINT (12,201)</t>
  </si>
  <si>
    <t xml:space="preserve">    COMMERCIAL DISPOSAL COMPLAINT (10,512)</t>
  </si>
  <si>
    <t xml:space="preserve">    DUMPSTER COMPLAINT (7,318)</t>
  </si>
  <si>
    <t xml:space="preserve">    STREET CONDITION (275,856)</t>
  </si>
  <si>
    <t xml:space="preserve">    WATER SYSTEM (256,583)</t>
  </si>
  <si>
    <t xml:space="preserve">    TRAFFIC SIGNAL CONDITION (171,717)</t>
  </si>
  <si>
    <t xml:space="preserve">    STREET LIGHT CONDITION (150,819)</t>
  </si>
  <si>
    <t xml:space="preserve">    SEWER (107,697)</t>
  </si>
  <si>
    <t xml:space="preserve">    SIDEWALK CONDITION (95,928)</t>
  </si>
  <si>
    <t xml:space="preserve">    NEW TREE REQUEST (63,107) Proactive forestry</t>
  </si>
  <si>
    <t xml:space="preserve">    OVERGROWN TREE/BRANCHES (62,950) City pruning schedules</t>
  </si>
  <si>
    <t xml:space="preserve">    ROOT/SEWER/SIDEWALK CONDITION (32,124)</t>
  </si>
  <si>
    <t xml:space="preserve">    SNOW OR ICE (27,977)</t>
  </si>
  <si>
    <t xml:space="preserve">    CURB CONDITION (27,717)</t>
  </si>
  <si>
    <t xml:space="preserve">    STREET SIGN - DAMAGED (19,772)</t>
  </si>
  <si>
    <t xml:space="preserve">    HIGHWAY CONDITION (14,529)</t>
  </si>
  <si>
    <t xml:space="preserve">    BROKEN PARKING METER (14,472)</t>
  </si>
  <si>
    <t xml:space="preserve">    STREET SIGN - MISSING (14,454)</t>
  </si>
  <si>
    <t xml:space="preserve">    STREET SIGN - DANGLING (14,166)</t>
  </si>
  <si>
    <t xml:space="preserve">    ENCAMPMENT (168,092)</t>
  </si>
  <si>
    <t xml:space="preserve">    HOMELESS PERSON ASSISTANCE (98,290)</t>
  </si>
  <si>
    <t>Include?</t>
  </si>
  <si>
    <t>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</si>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</sst>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25A5-E1A7-40A8-9092-B98CB067C3CD}">
  <sheetPr filterMode="1"/>
  <dimension ref="A1:C48"/>
  <sheetViews>
    <sheetView workbookViewId="0">
      <selection activeCell="A2" sqref="A2:A43"/>
    </sheetView>
  </sheetViews>
  <sheetFormatPr defaultRowHeight="14.4" x14ac:dyDescent="0.3"/>
  <cols>
    <col min="1" max="1" width="74.44140625" style="1" customWidth="1"/>
    <col min="2" max="2" width="13.33203125" customWidth="1"/>
    <col min="3" max="3" width="15" style="4" customWidth="1"/>
  </cols>
  <sheetData>
    <row r="1" spans="1:3" x14ac:dyDescent="0.3">
      <c r="A1" s="2" t="s">
        <v>0</v>
      </c>
      <c r="B1" s="3" t="s">
        <v>50</v>
      </c>
      <c r="C1" s="3" t="s">
        <v>48</v>
      </c>
    </row>
    <row r="2" spans="1:3" x14ac:dyDescent="0.3">
      <c r="A2" s="1" t="s">
        <v>1</v>
      </c>
      <c r="B2">
        <f>VALUE(_xlfn.TEXTBEFORE(_xlfn.TEXTAFTER(A2,"("),")"))</f>
        <v>1071134</v>
      </c>
      <c r="C2" s="4" t="s">
        <v>49</v>
      </c>
    </row>
    <row r="3" spans="1:3" x14ac:dyDescent="0.3">
      <c r="A3" s="1" t="s">
        <v>16</v>
      </c>
      <c r="B3">
        <f>VALUE(_xlfn.TEXTBEFORE(_xlfn.TEXTAFTER(A3,"("),")"))</f>
        <v>443177</v>
      </c>
      <c r="C3" s="4" t="s">
        <v>49</v>
      </c>
    </row>
    <row r="4" spans="1:3" x14ac:dyDescent="0.3">
      <c r="A4" s="1" t="s">
        <v>30</v>
      </c>
      <c r="B4">
        <f>VALUE(_xlfn.TEXTBEFORE(_xlfn.TEXTAFTER(A4,"("),")"))</f>
        <v>275856</v>
      </c>
      <c r="C4" s="4" t="s">
        <v>49</v>
      </c>
    </row>
    <row r="5" spans="1:3" x14ac:dyDescent="0.3">
      <c r="A5" s="1" t="s">
        <v>2</v>
      </c>
      <c r="B5">
        <f>VALUE(_xlfn.TEXTBEFORE(_xlfn.TEXTAFTER(A5,"("),")"))</f>
        <v>262373</v>
      </c>
      <c r="C5" s="4" t="s">
        <v>49</v>
      </c>
    </row>
    <row r="6" spans="1:3" x14ac:dyDescent="0.3">
      <c r="A6" s="1" t="s">
        <v>31</v>
      </c>
      <c r="B6">
        <f>VALUE(_xlfn.TEXTBEFORE(_xlfn.TEXTAFTER(A6,"("),")"))</f>
        <v>256583</v>
      </c>
      <c r="C6" s="4" t="s">
        <v>49</v>
      </c>
    </row>
    <row r="7" spans="1:3" x14ac:dyDescent="0.3">
      <c r="A7" s="1" t="s">
        <v>3</v>
      </c>
      <c r="B7">
        <f>VALUE(_xlfn.TEXTBEFORE(_xlfn.TEXTAFTER(A7,"("),")"))</f>
        <v>232555</v>
      </c>
      <c r="C7" s="4" t="s">
        <v>49</v>
      </c>
    </row>
    <row r="8" spans="1:3" x14ac:dyDescent="0.3">
      <c r="A8" s="1" t="s">
        <v>17</v>
      </c>
      <c r="B8">
        <f>VALUE(_xlfn.TEXTBEFORE(_xlfn.TEXTAFTER(A8,"("),")"))</f>
        <v>210309</v>
      </c>
      <c r="C8" s="4" t="s">
        <v>49</v>
      </c>
    </row>
    <row r="9" spans="1:3" x14ac:dyDescent="0.3">
      <c r="A9" s="1" t="s">
        <v>18</v>
      </c>
      <c r="B9">
        <f>VALUE(_xlfn.TEXTBEFORE(_xlfn.TEXTAFTER(A9,"("),")"))</f>
        <v>187275</v>
      </c>
      <c r="C9" s="4" t="s">
        <v>49</v>
      </c>
    </row>
    <row r="10" spans="1:3" x14ac:dyDescent="0.3">
      <c r="A10" s="1" t="s">
        <v>4</v>
      </c>
      <c r="B10">
        <f>VALUE(_xlfn.TEXTBEFORE(_xlfn.TEXTAFTER(A10,"("),")"))</f>
        <v>174403</v>
      </c>
      <c r="C10" s="4" t="s">
        <v>49</v>
      </c>
    </row>
    <row r="11" spans="1:3" x14ac:dyDescent="0.3">
      <c r="A11" s="1" t="s">
        <v>32</v>
      </c>
      <c r="B11">
        <f>VALUE(_xlfn.TEXTBEFORE(_xlfn.TEXTAFTER(A11,"("),")"))</f>
        <v>171717</v>
      </c>
      <c r="C11" s="4" t="s">
        <v>49</v>
      </c>
    </row>
    <row r="12" spans="1:3" x14ac:dyDescent="0.3">
      <c r="A12" s="1" t="s">
        <v>46</v>
      </c>
      <c r="B12">
        <f>VALUE(_xlfn.TEXTBEFORE(_xlfn.TEXTAFTER(A12,"("),")"))</f>
        <v>168092</v>
      </c>
      <c r="C12" s="4" t="s">
        <v>49</v>
      </c>
    </row>
    <row r="13" spans="1:3" x14ac:dyDescent="0.3">
      <c r="A13" s="1" t="s">
        <v>5</v>
      </c>
      <c r="B13">
        <f>VALUE(_xlfn.TEXTBEFORE(_xlfn.TEXTAFTER(A13,"("),")"))</f>
        <v>160989</v>
      </c>
      <c r="C13" s="4" t="s">
        <v>49</v>
      </c>
    </row>
    <row r="14" spans="1:3" x14ac:dyDescent="0.3">
      <c r="A14" s="1" t="s">
        <v>19</v>
      </c>
      <c r="B14">
        <f>VALUE(_xlfn.TEXTBEFORE(_xlfn.TEXTAFTER(A14,"("),")"))</f>
        <v>150950</v>
      </c>
      <c r="C14" s="4" t="s">
        <v>49</v>
      </c>
    </row>
    <row r="15" spans="1:3" x14ac:dyDescent="0.3">
      <c r="A15" s="1" t="s">
        <v>33</v>
      </c>
      <c r="B15">
        <f>VALUE(_xlfn.TEXTBEFORE(_xlfn.TEXTAFTER(A15,"("),")"))</f>
        <v>150819</v>
      </c>
      <c r="C15" s="4" t="s">
        <v>49</v>
      </c>
    </row>
    <row r="16" spans="1:3" hidden="1" x14ac:dyDescent="0.3">
      <c r="A16" s="1" t="s">
        <v>6</v>
      </c>
      <c r="B16">
        <f>VALUE(_xlfn.TEXTBEFORE(_xlfn.TEXTAFTER(A16,"("),")"))</f>
        <v>148533</v>
      </c>
    </row>
    <row r="17" spans="1:3" x14ac:dyDescent="0.3">
      <c r="A17" s="1" t="s">
        <v>20</v>
      </c>
      <c r="B17">
        <f>VALUE(_xlfn.TEXTBEFORE(_xlfn.TEXTAFTER(A17,"("),")"))</f>
        <v>141580</v>
      </c>
      <c r="C17" s="4" t="s">
        <v>49</v>
      </c>
    </row>
    <row r="18" spans="1:3" hidden="1" x14ac:dyDescent="0.3">
      <c r="A18" s="1" t="s">
        <v>7</v>
      </c>
      <c r="B18">
        <f>VALUE(_xlfn.TEXTBEFORE(_xlfn.TEXTAFTER(A18,"("),")"))</f>
        <v>111471</v>
      </c>
    </row>
    <row r="19" spans="1:3" x14ac:dyDescent="0.3">
      <c r="A19" s="1" t="s">
        <v>34</v>
      </c>
      <c r="B19">
        <f>VALUE(_xlfn.TEXTBEFORE(_xlfn.TEXTAFTER(A19,"("),")"))</f>
        <v>107697</v>
      </c>
      <c r="C19" s="4" t="s">
        <v>49</v>
      </c>
    </row>
    <row r="20" spans="1:3" x14ac:dyDescent="0.3">
      <c r="A20" s="1" t="s">
        <v>8</v>
      </c>
      <c r="B20">
        <f>VALUE(_xlfn.TEXTBEFORE(_xlfn.TEXTAFTER(A20,"("),")"))</f>
        <v>101643</v>
      </c>
      <c r="C20" s="4" t="s">
        <v>49</v>
      </c>
    </row>
    <row r="21" spans="1:3" x14ac:dyDescent="0.3">
      <c r="A21" s="1" t="s">
        <v>47</v>
      </c>
      <c r="B21">
        <f>VALUE(_xlfn.TEXTBEFORE(_xlfn.TEXTAFTER(A21,"("),")"))</f>
        <v>98290</v>
      </c>
      <c r="C21" s="4" t="s">
        <v>49</v>
      </c>
    </row>
    <row r="22" spans="1:3" x14ac:dyDescent="0.3">
      <c r="A22" s="1" t="s">
        <v>35</v>
      </c>
      <c r="B22">
        <f>VALUE(_xlfn.TEXTBEFORE(_xlfn.TEXTAFTER(A22,"("),")"))</f>
        <v>95928</v>
      </c>
      <c r="C22" s="4" t="s">
        <v>49</v>
      </c>
    </row>
    <row r="23" spans="1:3" hidden="1" x14ac:dyDescent="0.3">
      <c r="A23" s="1" t="s">
        <v>9</v>
      </c>
      <c r="B23">
        <f>VALUE(_xlfn.TEXTBEFORE(_xlfn.TEXTAFTER(A23,"("),")"))</f>
        <v>83837</v>
      </c>
    </row>
    <row r="24" spans="1:3" x14ac:dyDescent="0.3">
      <c r="A24" s="1" t="s">
        <v>10</v>
      </c>
      <c r="B24">
        <f>VALUE(_xlfn.TEXTBEFORE(_xlfn.TEXTAFTER(A24,"("),")"))</f>
        <v>82065</v>
      </c>
      <c r="C24" s="4" t="s">
        <v>49</v>
      </c>
    </row>
    <row r="25" spans="1:3" hidden="1" x14ac:dyDescent="0.3">
      <c r="A25" s="1" t="s">
        <v>11</v>
      </c>
      <c r="B25">
        <f>VALUE(_xlfn.TEXTBEFORE(_xlfn.TEXTAFTER(A25,"("),")"))</f>
        <v>77947</v>
      </c>
    </row>
    <row r="26" spans="1:3" x14ac:dyDescent="0.3">
      <c r="A26" s="1" t="s">
        <v>21</v>
      </c>
      <c r="B26">
        <f>VALUE(_xlfn.TEXTBEFORE(_xlfn.TEXTAFTER(A26,"("),")"))</f>
        <v>71424</v>
      </c>
      <c r="C26" s="4" t="s">
        <v>49</v>
      </c>
    </row>
    <row r="27" spans="1:3" x14ac:dyDescent="0.3">
      <c r="A27" s="1" t="s">
        <v>12</v>
      </c>
      <c r="B27">
        <f>VALUE(_xlfn.TEXTBEFORE(_xlfn.TEXTAFTER(A27,"("),")"))</f>
        <v>63187</v>
      </c>
      <c r="C27" s="4" t="s">
        <v>49</v>
      </c>
    </row>
    <row r="28" spans="1:3" hidden="1" x14ac:dyDescent="0.3">
      <c r="A28" s="1" t="s">
        <v>36</v>
      </c>
      <c r="B28">
        <f>VALUE(_xlfn.TEXTBEFORE(_xlfn.TEXTAFTER(A28,"("),")"))</f>
        <v>63107</v>
      </c>
    </row>
    <row r="29" spans="1:3" x14ac:dyDescent="0.3">
      <c r="A29" s="1" t="s">
        <v>37</v>
      </c>
      <c r="B29">
        <f>VALUE(_xlfn.TEXTBEFORE(_xlfn.TEXTAFTER(A29,"("),")"))</f>
        <v>62950</v>
      </c>
      <c r="C29" s="4" t="s">
        <v>49</v>
      </c>
    </row>
    <row r="30" spans="1:3" x14ac:dyDescent="0.3">
      <c r="A30" s="1" t="s">
        <v>22</v>
      </c>
      <c r="B30">
        <f>VALUE(_xlfn.TEXTBEFORE(_xlfn.TEXTAFTER(A30,"("),")"))</f>
        <v>49424</v>
      </c>
      <c r="C30" s="4" t="s">
        <v>49</v>
      </c>
    </row>
    <row r="31" spans="1:3" hidden="1" x14ac:dyDescent="0.3">
      <c r="A31" s="1" t="s">
        <v>23</v>
      </c>
      <c r="B31">
        <f>VALUE(_xlfn.TEXTBEFORE(_xlfn.TEXTAFTER(A31,"("),")"))</f>
        <v>46727</v>
      </c>
    </row>
    <row r="32" spans="1:3" x14ac:dyDescent="0.3">
      <c r="A32" s="1" t="s">
        <v>24</v>
      </c>
      <c r="B32">
        <f>VALUE(_xlfn.TEXTBEFORE(_xlfn.TEXTAFTER(A32,"("),")"))</f>
        <v>32663</v>
      </c>
      <c r="C32" s="4" t="s">
        <v>49</v>
      </c>
    </row>
    <row r="33" spans="1:3" x14ac:dyDescent="0.3">
      <c r="A33" s="1" t="s">
        <v>38</v>
      </c>
      <c r="B33">
        <f>VALUE(_xlfn.TEXTBEFORE(_xlfn.TEXTAFTER(A33,"("),")"))</f>
        <v>32124</v>
      </c>
      <c r="C33" s="4" t="s">
        <v>49</v>
      </c>
    </row>
    <row r="34" spans="1:3" hidden="1" x14ac:dyDescent="0.3">
      <c r="A34" s="1" t="s">
        <v>13</v>
      </c>
      <c r="B34">
        <f>VALUE(_xlfn.TEXTBEFORE(_xlfn.TEXTAFTER(A34,"("),")"))</f>
        <v>29752</v>
      </c>
    </row>
    <row r="35" spans="1:3" hidden="1" x14ac:dyDescent="0.3">
      <c r="A35" s="1" t="s">
        <v>39</v>
      </c>
      <c r="B35">
        <f>VALUE(_xlfn.TEXTBEFORE(_xlfn.TEXTAFTER(A35,"("),")"))</f>
        <v>27977</v>
      </c>
    </row>
    <row r="36" spans="1:3" x14ac:dyDescent="0.3">
      <c r="A36" s="1" t="s">
        <v>40</v>
      </c>
      <c r="B36">
        <f>VALUE(_xlfn.TEXTBEFORE(_xlfn.TEXTAFTER(A36,"("),")"))</f>
        <v>27717</v>
      </c>
      <c r="C36" s="4" t="s">
        <v>49</v>
      </c>
    </row>
    <row r="37" spans="1:3" hidden="1" x14ac:dyDescent="0.3">
      <c r="A37" s="1" t="s">
        <v>25</v>
      </c>
      <c r="B37">
        <f>VALUE(_xlfn.TEXTBEFORE(_xlfn.TEXTAFTER(A37,"("),")"))</f>
        <v>21587</v>
      </c>
    </row>
    <row r="38" spans="1:3" x14ac:dyDescent="0.3">
      <c r="A38" s="1" t="s">
        <v>41</v>
      </c>
      <c r="B38">
        <f>VALUE(_xlfn.TEXTBEFORE(_xlfn.TEXTAFTER(A38,"("),")"))</f>
        <v>19772</v>
      </c>
      <c r="C38" s="4" t="s">
        <v>49</v>
      </c>
    </row>
    <row r="39" spans="1:3" hidden="1" x14ac:dyDescent="0.3">
      <c r="A39" s="1" t="s">
        <v>42</v>
      </c>
      <c r="B39">
        <f>VALUE(_xlfn.TEXTBEFORE(_xlfn.TEXTAFTER(A39,"("),")"))</f>
        <v>14529</v>
      </c>
    </row>
    <row r="40" spans="1:3" hidden="1" x14ac:dyDescent="0.3">
      <c r="A40" s="1" t="s">
        <v>26</v>
      </c>
      <c r="B40">
        <f>VALUE(_xlfn.TEXTBEFORE(_xlfn.TEXTAFTER(A40,"("),")"))</f>
        <v>14513</v>
      </c>
    </row>
    <row r="41" spans="1:3" x14ac:dyDescent="0.3">
      <c r="A41" s="1" t="s">
        <v>43</v>
      </c>
      <c r="B41">
        <f>VALUE(_xlfn.TEXTBEFORE(_xlfn.TEXTAFTER(A41,"("),")"))</f>
        <v>14472</v>
      </c>
      <c r="C41" s="4" t="s">
        <v>49</v>
      </c>
    </row>
    <row r="42" spans="1:3" x14ac:dyDescent="0.3">
      <c r="A42" s="1" t="s">
        <v>44</v>
      </c>
      <c r="B42">
        <f>VALUE(_xlfn.TEXTBEFORE(_xlfn.TEXTAFTER(A42,"("),")"))</f>
        <v>14454</v>
      </c>
      <c r="C42" s="4" t="s">
        <v>49</v>
      </c>
    </row>
    <row r="43" spans="1:3" x14ac:dyDescent="0.3">
      <c r="A43" s="1" t="s">
        <v>45</v>
      </c>
      <c r="B43">
        <f>VALUE(_xlfn.TEXTBEFORE(_xlfn.TEXTAFTER(A43,"("),")"))</f>
        <v>14166</v>
      </c>
      <c r="C43" s="4" t="s">
        <v>49</v>
      </c>
    </row>
    <row r="44" spans="1:3" hidden="1" x14ac:dyDescent="0.3">
      <c r="A44" s="1" t="s">
        <v>14</v>
      </c>
      <c r="B44">
        <f>VALUE(_xlfn.TEXTBEFORE(_xlfn.TEXTAFTER(A44,"("),")"))</f>
        <v>13527</v>
      </c>
    </row>
    <row r="45" spans="1:3" hidden="1" x14ac:dyDescent="0.3">
      <c r="A45" s="1" t="s">
        <v>27</v>
      </c>
      <c r="B45">
        <f>VALUE(_xlfn.TEXTBEFORE(_xlfn.TEXTAFTER(A45,"("),")"))</f>
        <v>12201</v>
      </c>
    </row>
    <row r="46" spans="1:3" hidden="1" x14ac:dyDescent="0.3">
      <c r="A46" s="1" t="s">
        <v>28</v>
      </c>
      <c r="B46">
        <f>VALUE(_xlfn.TEXTBEFORE(_xlfn.TEXTAFTER(A46,"("),")"))</f>
        <v>10512</v>
      </c>
    </row>
    <row r="47" spans="1:3" hidden="1" x14ac:dyDescent="0.3">
      <c r="A47" s="1" t="s">
        <v>15</v>
      </c>
      <c r="B47">
        <f>VALUE(_xlfn.TEXTBEFORE(_xlfn.TEXTAFTER(A47,"("),")"))</f>
        <v>8892</v>
      </c>
    </row>
    <row r="48" spans="1:3" hidden="1" x14ac:dyDescent="0.3">
      <c r="A48" s="1" t="s">
        <v>29</v>
      </c>
      <c r="B48">
        <f>VALUE(_xlfn.TEXTBEFORE(_xlfn.TEXTAFTER(A48,"("),")"))</f>
        <v>7318</v>
      </c>
    </row>
  </sheetData>
  <autoFilter ref="A1:C48" xr:uid="{7E6725A5-E1A7-40A8-9092-B98CB067C3CD}">
    <filterColumn colId="2">
      <customFilters>
        <customFilter operator="notEqual" val=" "/>
      </customFilters>
    </filterColumn>
  </autoFilter>
  <sortState xmlns:xlrd2="http://schemas.microsoft.com/office/spreadsheetml/2017/richdata2" ref="A2:B48">
    <sortCondition descending="1" ref="B2:B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02B1-E376-430E-8298-3011E2C6A752}">
  <dimension ref="A1:A31"/>
  <sheetViews>
    <sheetView tabSelected="1" workbookViewId="0">
      <selection activeCell="A11" sqref="A11"/>
    </sheetView>
  </sheetViews>
  <sheetFormatPr defaultRowHeight="14.4" x14ac:dyDescent="0.3"/>
  <cols>
    <col min="1" max="1" width="54.33203125" bestFit="1" customWidth="1"/>
  </cols>
  <sheetData>
    <row r="1" spans="1:1" x14ac:dyDescent="0.3">
      <c r="A1" t="s">
        <v>1</v>
      </c>
    </row>
    <row r="2" spans="1:1" x14ac:dyDescent="0.3">
      <c r="A2" t="s">
        <v>16</v>
      </c>
    </row>
    <row r="3" spans="1:1" x14ac:dyDescent="0.3">
      <c r="A3" t="s">
        <v>30</v>
      </c>
    </row>
    <row r="4" spans="1:1" x14ac:dyDescent="0.3">
      <c r="A4" t="s">
        <v>2</v>
      </c>
    </row>
    <row r="5" spans="1:1" x14ac:dyDescent="0.3">
      <c r="A5" t="s">
        <v>31</v>
      </c>
    </row>
    <row r="6" spans="1:1" x14ac:dyDescent="0.3">
      <c r="A6" t="s">
        <v>3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4</v>
      </c>
    </row>
    <row r="10" spans="1:1" x14ac:dyDescent="0.3">
      <c r="A10" t="s">
        <v>32</v>
      </c>
    </row>
    <row r="11" spans="1:1" x14ac:dyDescent="0.3">
      <c r="A11" t="s">
        <v>46</v>
      </c>
    </row>
    <row r="12" spans="1:1" x14ac:dyDescent="0.3">
      <c r="A12" t="s">
        <v>5</v>
      </c>
    </row>
    <row r="13" spans="1:1" x14ac:dyDescent="0.3">
      <c r="A13" t="s">
        <v>19</v>
      </c>
    </row>
    <row r="14" spans="1:1" x14ac:dyDescent="0.3">
      <c r="A14" t="s">
        <v>33</v>
      </c>
    </row>
    <row r="15" spans="1:1" x14ac:dyDescent="0.3">
      <c r="A15" t="s">
        <v>20</v>
      </c>
    </row>
    <row r="16" spans="1:1" x14ac:dyDescent="0.3">
      <c r="A16" t="s">
        <v>34</v>
      </c>
    </row>
    <row r="17" spans="1:1" x14ac:dyDescent="0.3">
      <c r="A17" t="s">
        <v>8</v>
      </c>
    </row>
    <row r="18" spans="1:1" x14ac:dyDescent="0.3">
      <c r="A18" t="s">
        <v>47</v>
      </c>
    </row>
    <row r="19" spans="1:1" x14ac:dyDescent="0.3">
      <c r="A19" t="s">
        <v>35</v>
      </c>
    </row>
    <row r="20" spans="1:1" x14ac:dyDescent="0.3">
      <c r="A20" t="s">
        <v>10</v>
      </c>
    </row>
    <row r="21" spans="1:1" x14ac:dyDescent="0.3">
      <c r="A21" t="s">
        <v>21</v>
      </c>
    </row>
    <row r="22" spans="1:1" x14ac:dyDescent="0.3">
      <c r="A22" t="s">
        <v>12</v>
      </c>
    </row>
    <row r="23" spans="1:1" x14ac:dyDescent="0.3">
      <c r="A23" t="s">
        <v>37</v>
      </c>
    </row>
    <row r="24" spans="1:1" x14ac:dyDescent="0.3">
      <c r="A24" t="s">
        <v>22</v>
      </c>
    </row>
    <row r="25" spans="1:1" x14ac:dyDescent="0.3">
      <c r="A25" t="s">
        <v>24</v>
      </c>
    </row>
    <row r="26" spans="1:1" x14ac:dyDescent="0.3">
      <c r="A26" t="s">
        <v>38</v>
      </c>
    </row>
    <row r="27" spans="1:1" x14ac:dyDescent="0.3">
      <c r="A27" t="s">
        <v>40</v>
      </c>
    </row>
    <row r="28" spans="1:1" x14ac:dyDescent="0.3">
      <c r="A28" t="s">
        <v>41</v>
      </c>
    </row>
    <row r="29" spans="1:1" x14ac:dyDescent="0.3">
      <c r="A29" t="s">
        <v>43</v>
      </c>
    </row>
    <row r="30" spans="1:1" x14ac:dyDescent="0.3">
      <c r="A30" t="s">
        <v>44</v>
      </c>
    </row>
    <row r="31" spans="1:1" x14ac:dyDescent="0.3">
      <c r="A3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Tussey</dc:creator>
  <cp:lastModifiedBy>David Tussey</cp:lastModifiedBy>
  <dcterms:created xsi:type="dcterms:W3CDTF">2026-02-26T17:43:27Z</dcterms:created>
  <dcterms:modified xsi:type="dcterms:W3CDTF">2026-02-26T18:19:27Z</dcterms:modified>
</cp:coreProperties>
</file>